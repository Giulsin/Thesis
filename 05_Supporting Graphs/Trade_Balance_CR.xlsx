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Giulia\MS_Industrial Ecology\Thesis\Country profiles - 1st phase\"/>
    </mc:Choice>
  </mc:AlternateContent>
  <xr:revisionPtr revIDLastSave="0" documentId="8_{30F4D878-7242-4655-A94F-B682670B17B2}" xr6:coauthVersionLast="47" xr6:coauthVersionMax="47" xr10:uidLastSave="{00000000-0000-0000-0000-000000000000}"/>
  <bookViews>
    <workbookView xWindow="-108" yWindow="-108" windowWidth="23256" windowHeight="12456" activeTab="1" xr2:uid="{00000000-000D-0000-FFFF-FFFF00000000}"/>
  </bookViews>
  <sheets>
    <sheet name="data" sheetId="1" r:id="rId1"/>
    <sheet name="chart " sheetId="6" r:id="rId2"/>
    <sheet name="metadata" sheetId="2" r:id="rId3"/>
    <sheet name="sources" sheetId="3" r:id="rId4"/>
    <sheet name="footnotes" sheetId="4" r:id="rId5"/>
    <sheet name="credits" sheetId="5"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<sst xmlns="http://schemas.openxmlformats.org/spreadsheetml/2006/main" count="172" uniqueCount="54">
  <si>
    <t>indicator</t>
  </si>
  <si>
    <t>Country__ESTANDAR</t>
  </si>
  <si>
    <t>Item__Balance of payments</t>
  </si>
  <si>
    <t>Years__ESTANDAR</t>
  </si>
  <si>
    <t>value</t>
  </si>
  <si>
    <t>unit</t>
  </si>
  <si>
    <t>notes_ids</t>
  </si>
  <si>
    <t>source_id</t>
  </si>
  <si>
    <t>Balance of payments</t>
  </si>
  <si>
    <t>Costa Rica</t>
  </si>
  <si>
    <t>Exports of goods and services</t>
  </si>
  <si>
    <t>2020</t>
  </si>
  <si>
    <t>Millions of dollars</t>
  </si>
  <si>
    <t>10138</t>
  </si>
  <si>
    <t>2021</t>
  </si>
  <si>
    <t>2022</t>
  </si>
  <si>
    <t>2023</t>
  </si>
  <si>
    <t>2024</t>
  </si>
  <si>
    <t>Imports of goods and services</t>
  </si>
  <si>
    <t>Exports of goods, f.o.b.</t>
  </si>
  <si>
    <t>Imports of goods, f.o.b.</t>
  </si>
  <si>
    <t>metadata</t>
  </si>
  <si>
    <t>indicator_id</t>
  </si>
  <si>
    <t>indicator_name</t>
  </si>
  <si>
    <t>theme</t>
  </si>
  <si>
    <t>Economic Indicators and Statistics</t>
  </si>
  <si>
    <t>area</t>
  </si>
  <si>
    <t>External sector</t>
  </si>
  <si>
    <t>note</t>
  </si>
  <si>
    <t>data_features</t>
  </si>
  <si>
    <t>definition</t>
  </si>
  <si>
    <t>Balance of payments:A statement summarizing the economic transactions between the residents of a country and nonresidents during a specific period, usually a year. The BOP includes transactions in goods, services, income, transfers and financial assets and liabilities. Generally, the BOP is divided into two major components: the current account and the capital and financial account.
The concepts included in the balance of payments and the methods for achieving a certain degree of uniformity and comparability follow the recommendations formulated by the International Monetary Fund (IMF) in different versions of its Balance of Payments Manual and are consistent with System of National Accounts (SNA) and foreign investment position. 
It includes balance of payments data broken down in accordance with the analytical components of the fifth edition of the Balance of Payments Manual.
Regional and subregional totals based on available data for the countries of the region.</t>
  </si>
  <si>
    <t>calculation_methodology</t>
  </si>
  <si>
    <t>In the analytical presentation, the components of the balance of payments are grouped under five main types
of accounts:
I. The current account, which includes goods and services, income and current transfers.
II. The capital account, which refers to capital transfers and the acquisition/disposal of non-produced, non- financial assets.
III. The financial account, which registers financial assets/liabilities.
IV. The errors and omissions account, which contains offsets for over- or under estimates of components of the above accounts, and 
V. The reserves and related items account, which refers to reserve assets, the use of IMF credit and loans, liabilities constituting foreign authorities’ reserves
and exceptional financing.
For analytical purposes, a sixth category has been established. This entry, called the global balance, includes all the components of the current, capital, financial and errors and omissions accounts.
This balance can be measured more easily as the net sum (with the opposite sign) of the components of the reserves and related items account</t>
  </si>
  <si>
    <t>comments</t>
  </si>
  <si>
    <t>decimals</t>
  </si>
  <si>
    <t>last_update</t>
  </si>
  <si>
    <t>Jun 10 2025  2:54PM</t>
  </si>
  <si>
    <t>id</t>
  </si>
  <si>
    <t>organization_name</t>
  </si>
  <si>
    <t>description</t>
  </si>
  <si>
    <t>organization_url</t>
  </si>
  <si>
    <t>organization_acronym</t>
  </si>
  <si>
    <t>publication_url</t>
  </si>
  <si>
    <t>Central Bank of Costa Rica</t>
  </si>
  <si>
    <t>Indicadores Economicos/ Producción y Empleo</t>
  </si>
  <si>
    <t>https://www.bccr.fi.cr/SitePages/Inicio.aspx</t>
  </si>
  <si>
    <t>CBCR</t>
  </si>
  <si>
    <t>http://www.bccr.fi.cr/indicadores_economicos_/</t>
  </si>
  <si>
    <t>Analytical presentation based on the official figures of the countries according to the 6th version of the IMF Balance of Payments Manual.</t>
  </si>
  <si>
    <t>2025-06-30</t>
  </si>
  <si>
    <t>CEPALSTAT</t>
  </si>
  <si>
    <t>Economic Commission for Latin America and the Caribbean – ECLAC</t>
  </si>
  <si>
    <t>United Nations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</si>
</sst>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 fontId="0" fillId="0" borderId="0" xfId="0" applyNumberFormat="1"/>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it-IT">
                <a:solidFill>
                  <a:schemeClr val="tx1"/>
                </a:solidFill>
              </a:rPr>
              <a:t>Exports</a:t>
            </a:r>
            <a:r>
              <a:rPr lang="it-IT" baseline="0">
                <a:solidFill>
                  <a:schemeClr val="tx1"/>
                </a:solidFill>
              </a:rPr>
              <a:t> and Imports of Costa Rica (2020 -2024)</a:t>
            </a:r>
            <a:endParaRPr lang="it-IT">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it-IT"/>
        </a:p>
      </c:txPr>
    </c:title>
    <c:autoTitleDeleted val="0"/>
    <c:plotArea>
      <c:layout/>
      <c:barChart>
        <c:barDir val="col"/>
        <c:grouping val="stacked"/>
        <c:varyColors val="0"/>
        <c:ser>
          <c:idx val="0"/>
          <c:order val="0"/>
          <c:tx>
            <c:strRef>
              <c:f>'chart '!$A$2</c:f>
              <c:strCache>
                <c:ptCount val="1"/>
                <c:pt idx="0">
                  <c:v>Exports of goods and services</c:v>
                </c:pt>
              </c:strCache>
            </c:strRef>
          </c:tx>
          <c:spPr>
            <a:solidFill>
              <a:schemeClr val="accent1"/>
            </a:solidFill>
            <a:ln>
              <a:noFill/>
            </a:ln>
            <a:effectLst/>
          </c:spPr>
          <c:invertIfNegative val="0"/>
          <c:cat>
            <c:numRef>
              <c:f>'chart '!$B$1:$F$1</c:f>
              <c:numCache>
                <c:formatCode>General</c:formatCode>
                <c:ptCount val="5"/>
                <c:pt idx="0">
                  <c:v>2020</c:v>
                </c:pt>
                <c:pt idx="1">
                  <c:v>2021</c:v>
                </c:pt>
                <c:pt idx="2">
                  <c:v>2022</c:v>
                </c:pt>
                <c:pt idx="3">
                  <c:v>2023</c:v>
                </c:pt>
                <c:pt idx="4">
                  <c:v>2024</c:v>
                </c:pt>
              </c:numCache>
            </c:numRef>
          </c:cat>
          <c:val>
            <c:numRef>
              <c:f>'chart '!$B$2:$F$2</c:f>
              <c:numCache>
                <c:formatCode>0</c:formatCode>
                <c:ptCount val="5"/>
                <c:pt idx="0">
                  <c:v>19972.1453</c:v>
                </c:pt>
                <c:pt idx="1">
                  <c:v>23608.367399999999</c:v>
                </c:pt>
                <c:pt idx="2">
                  <c:v>29392.294600000001</c:v>
                </c:pt>
                <c:pt idx="3">
                  <c:v>33682.965499999998</c:v>
                </c:pt>
                <c:pt idx="4">
                  <c:v>36770.002800000002</c:v>
                </c:pt>
              </c:numCache>
            </c:numRef>
          </c:val>
          <c:extLst>
            <c:ext xmlns:c16="http://schemas.microsoft.com/office/drawing/2014/chart" uri="{C3380CC4-5D6E-409C-BE32-E72D297353CC}">
              <c16:uniqueId val="{00000000-6F94-430E-AB7C-843F48588FD6}"/>
            </c:ext>
          </c:extLst>
        </c:ser>
        <c:ser>
          <c:idx val="1"/>
          <c:order val="1"/>
          <c:tx>
            <c:strRef>
              <c:f>'chart '!$A$3</c:f>
              <c:strCache>
                <c:ptCount val="1"/>
                <c:pt idx="0">
                  <c:v>Imports of goods and services</c:v>
                </c:pt>
              </c:strCache>
            </c:strRef>
          </c:tx>
          <c:spPr>
            <a:solidFill>
              <a:schemeClr val="accent2"/>
            </a:solidFill>
            <a:ln>
              <a:noFill/>
            </a:ln>
            <a:effectLst/>
          </c:spPr>
          <c:invertIfNegative val="0"/>
          <c:cat>
            <c:numRef>
              <c:f>'chart '!$B$1:$F$1</c:f>
              <c:numCache>
                <c:formatCode>General</c:formatCode>
                <c:ptCount val="5"/>
                <c:pt idx="0">
                  <c:v>2020</c:v>
                </c:pt>
                <c:pt idx="1">
                  <c:v>2021</c:v>
                </c:pt>
                <c:pt idx="2">
                  <c:v>2022</c:v>
                </c:pt>
                <c:pt idx="3">
                  <c:v>2023</c:v>
                </c:pt>
                <c:pt idx="4">
                  <c:v>2024</c:v>
                </c:pt>
              </c:numCache>
            </c:numRef>
          </c:cat>
          <c:val>
            <c:numRef>
              <c:f>'chart '!$B$3:$F$3</c:f>
              <c:numCache>
                <c:formatCode>0</c:formatCode>
                <c:ptCount val="5"/>
                <c:pt idx="0">
                  <c:v>-17515.725699999999</c:v>
                </c:pt>
                <c:pt idx="1">
                  <c:v>-21938.261399999999</c:v>
                </c:pt>
                <c:pt idx="2">
                  <c:v>-27095.220300000001</c:v>
                </c:pt>
                <c:pt idx="3">
                  <c:v>-28412.546900000001</c:v>
                </c:pt>
                <c:pt idx="4">
                  <c:v>-30459.218499999999</c:v>
                </c:pt>
              </c:numCache>
            </c:numRef>
          </c:val>
          <c:extLst>
            <c:ext xmlns:c16="http://schemas.microsoft.com/office/drawing/2014/chart" uri="{C3380CC4-5D6E-409C-BE32-E72D297353CC}">
              <c16:uniqueId val="{00000001-6F94-430E-AB7C-843F48588FD6}"/>
            </c:ext>
          </c:extLst>
        </c:ser>
        <c:dLbls>
          <c:showLegendKey val="0"/>
          <c:showVal val="0"/>
          <c:showCatName val="0"/>
          <c:showSerName val="0"/>
          <c:showPercent val="0"/>
          <c:showBubbleSize val="0"/>
        </c:dLbls>
        <c:gapWidth val="150"/>
        <c:overlap val="100"/>
        <c:axId val="1557904544"/>
        <c:axId val="1557903584"/>
      </c:barChart>
      <c:catAx>
        <c:axId val="1557904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it-IT">
                    <a:solidFill>
                      <a:schemeClr val="tx1"/>
                    </a:solidFill>
                  </a:rPr>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it-IT"/>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t-IT"/>
          </a:p>
        </c:txPr>
        <c:crossAx val="1557903584"/>
        <c:crosses val="autoZero"/>
        <c:auto val="1"/>
        <c:lblAlgn val="ctr"/>
        <c:lblOffset val="100"/>
        <c:noMultiLvlLbl val="0"/>
      </c:catAx>
      <c:valAx>
        <c:axId val="1557903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it-IT">
                    <a:solidFill>
                      <a:schemeClr val="tx1"/>
                    </a:solidFill>
                  </a:rPr>
                  <a:t>Millions</a:t>
                </a:r>
                <a:r>
                  <a:rPr lang="it-IT" baseline="0">
                    <a:solidFill>
                      <a:schemeClr val="tx1"/>
                    </a:solidFill>
                  </a:rPr>
                  <a:t> of dollars</a:t>
                </a:r>
                <a:endParaRPr lang="it-IT">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it-IT"/>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t-IT"/>
          </a:p>
        </c:txPr>
        <c:crossAx val="15579045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t-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510540</xdr:colOff>
      <xdr:row>5</xdr:row>
      <xdr:rowOff>34290</xdr:rowOff>
    </xdr:from>
    <xdr:to>
      <xdr:col>12</xdr:col>
      <xdr:colOff>205740</xdr:colOff>
      <xdr:row>20</xdr:row>
      <xdr:rowOff>34290</xdr:rowOff>
    </xdr:to>
    <xdr:graphicFrame macro="">
      <xdr:nvGraphicFramePr>
        <xdr:cNvPr id="2" name="Chart 1">
          <a:extLst>
            <a:ext uri="{FF2B5EF4-FFF2-40B4-BE49-F238E27FC236}">
              <a16:creationId xmlns:a16="http://schemas.microsoft.com/office/drawing/2014/main" id="{EC789EB6-0791-C7ED-9F7A-5A994C2836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
  <sheetViews>
    <sheetView workbookViewId="0">
      <selection activeCell="D25" sqref="D25"/>
    </sheetView>
  </sheetViews>
  <sheetFormatPr defaultRowHeight="14.4" x14ac:dyDescent="0.3"/>
  <cols>
    <col min="1" max="9" width="30" customWidth="1"/>
  </cols>
  <sheetData>
    <row r="1" spans="1:8" x14ac:dyDescent="0.3">
      <c r="A1" s="1" t="s">
        <v>0</v>
      </c>
      <c r="B1" s="1" t="s">
        <v>1</v>
      </c>
      <c r="C1" s="1" t="s">
        <v>2</v>
      </c>
      <c r="D1" s="1" t="s">
        <v>3</v>
      </c>
      <c r="E1" s="1" t="s">
        <v>4</v>
      </c>
      <c r="F1" s="1" t="s">
        <v>5</v>
      </c>
      <c r="G1" s="1" t="s">
        <v>6</v>
      </c>
      <c r="H1" s="1" t="s">
        <v>7</v>
      </c>
    </row>
    <row r="2" spans="1:8" x14ac:dyDescent="0.3">
      <c r="A2" t="s">
        <v>8</v>
      </c>
      <c r="B2" t="s">
        <v>9</v>
      </c>
      <c r="C2" t="s">
        <v>10</v>
      </c>
      <c r="D2" t="s">
        <v>11</v>
      </c>
      <c r="E2" s="2">
        <v>19972.1453</v>
      </c>
      <c r="F2" t="s">
        <v>12</v>
      </c>
      <c r="G2" t="s">
        <v>13</v>
      </c>
      <c r="H2">
        <v>1434</v>
      </c>
    </row>
    <row r="3" spans="1:8" x14ac:dyDescent="0.3">
      <c r="A3" t="s">
        <v>8</v>
      </c>
      <c r="B3" t="s">
        <v>9</v>
      </c>
      <c r="C3" t="s">
        <v>10</v>
      </c>
      <c r="D3" t="s">
        <v>14</v>
      </c>
      <c r="E3" s="2">
        <v>23608.367399999999</v>
      </c>
      <c r="F3" t="s">
        <v>12</v>
      </c>
      <c r="G3" t="s">
        <v>13</v>
      </c>
      <c r="H3">
        <v>1434</v>
      </c>
    </row>
    <row r="4" spans="1:8" x14ac:dyDescent="0.3">
      <c r="A4" t="s">
        <v>8</v>
      </c>
      <c r="B4" t="s">
        <v>9</v>
      </c>
      <c r="C4" t="s">
        <v>10</v>
      </c>
      <c r="D4" t="s">
        <v>15</v>
      </c>
      <c r="E4" s="2">
        <v>29392.294600000001</v>
      </c>
      <c r="F4" t="s">
        <v>12</v>
      </c>
      <c r="G4" t="s">
        <v>13</v>
      </c>
      <c r="H4">
        <v>1434</v>
      </c>
    </row>
    <row r="5" spans="1:8" x14ac:dyDescent="0.3">
      <c r="A5" t="s">
        <v>8</v>
      </c>
      <c r="B5" t="s">
        <v>9</v>
      </c>
      <c r="C5" t="s">
        <v>10</v>
      </c>
      <c r="D5" t="s">
        <v>16</v>
      </c>
      <c r="E5" s="2">
        <v>33682.965499999998</v>
      </c>
      <c r="F5" t="s">
        <v>12</v>
      </c>
      <c r="G5" t="s">
        <v>13</v>
      </c>
      <c r="H5">
        <v>1434</v>
      </c>
    </row>
    <row r="6" spans="1:8" x14ac:dyDescent="0.3">
      <c r="A6" t="s">
        <v>8</v>
      </c>
      <c r="B6" t="s">
        <v>9</v>
      </c>
      <c r="C6" t="s">
        <v>10</v>
      </c>
      <c r="D6" t="s">
        <v>17</v>
      </c>
      <c r="E6" s="2">
        <v>36770.002800000002</v>
      </c>
      <c r="F6" t="s">
        <v>12</v>
      </c>
      <c r="G6" t="s">
        <v>13</v>
      </c>
      <c r="H6">
        <v>1434</v>
      </c>
    </row>
    <row r="7" spans="1:8" x14ac:dyDescent="0.3">
      <c r="A7" t="s">
        <v>8</v>
      </c>
      <c r="B7" t="s">
        <v>9</v>
      </c>
      <c r="C7" t="s">
        <v>18</v>
      </c>
      <c r="D7" t="s">
        <v>11</v>
      </c>
      <c r="E7" s="2">
        <v>-17515.725699999999</v>
      </c>
      <c r="F7" t="s">
        <v>12</v>
      </c>
      <c r="G7" t="s">
        <v>13</v>
      </c>
      <c r="H7">
        <v>1434</v>
      </c>
    </row>
    <row r="8" spans="1:8" x14ac:dyDescent="0.3">
      <c r="A8" t="s">
        <v>8</v>
      </c>
      <c r="B8" t="s">
        <v>9</v>
      </c>
      <c r="C8" t="s">
        <v>18</v>
      </c>
      <c r="D8" t="s">
        <v>14</v>
      </c>
      <c r="E8" s="2">
        <v>-21938.261399999999</v>
      </c>
      <c r="F8" t="s">
        <v>12</v>
      </c>
      <c r="G8" t="s">
        <v>13</v>
      </c>
      <c r="H8">
        <v>1434</v>
      </c>
    </row>
    <row r="9" spans="1:8" x14ac:dyDescent="0.3">
      <c r="A9" t="s">
        <v>8</v>
      </c>
      <c r="B9" t="s">
        <v>9</v>
      </c>
      <c r="C9" t="s">
        <v>18</v>
      </c>
      <c r="D9" t="s">
        <v>15</v>
      </c>
      <c r="E9" s="2">
        <v>-27095.220300000001</v>
      </c>
      <c r="F9" t="s">
        <v>12</v>
      </c>
      <c r="G9" t="s">
        <v>13</v>
      </c>
      <c r="H9">
        <v>1434</v>
      </c>
    </row>
    <row r="10" spans="1:8" x14ac:dyDescent="0.3">
      <c r="A10" t="s">
        <v>8</v>
      </c>
      <c r="B10" t="s">
        <v>9</v>
      </c>
      <c r="C10" t="s">
        <v>18</v>
      </c>
      <c r="D10" t="s">
        <v>16</v>
      </c>
      <c r="E10" s="2">
        <v>-28412.546900000001</v>
      </c>
      <c r="F10" t="s">
        <v>12</v>
      </c>
      <c r="G10" t="s">
        <v>13</v>
      </c>
      <c r="H10">
        <v>1434</v>
      </c>
    </row>
    <row r="11" spans="1:8" x14ac:dyDescent="0.3">
      <c r="A11" t="s">
        <v>8</v>
      </c>
      <c r="B11" t="s">
        <v>9</v>
      </c>
      <c r="C11" t="s">
        <v>18</v>
      </c>
      <c r="D11" t="s">
        <v>17</v>
      </c>
      <c r="E11" s="2">
        <v>-30459.218499999999</v>
      </c>
      <c r="F11" t="s">
        <v>12</v>
      </c>
      <c r="G11" t="s">
        <v>13</v>
      </c>
      <c r="H11">
        <v>1434</v>
      </c>
    </row>
    <row r="12" spans="1:8" x14ac:dyDescent="0.3">
      <c r="A12" t="s">
        <v>8</v>
      </c>
      <c r="B12" t="s">
        <v>9</v>
      </c>
      <c r="C12" t="s">
        <v>19</v>
      </c>
      <c r="D12" t="s">
        <v>11</v>
      </c>
      <c r="E12" s="2">
        <v>12066.6829</v>
      </c>
      <c r="F12" t="s">
        <v>12</v>
      </c>
      <c r="G12" t="s">
        <v>13</v>
      </c>
      <c r="H12">
        <v>1434</v>
      </c>
    </row>
    <row r="13" spans="1:8" x14ac:dyDescent="0.3">
      <c r="A13" t="s">
        <v>8</v>
      </c>
      <c r="B13" t="s">
        <v>9</v>
      </c>
      <c r="C13" t="s">
        <v>19</v>
      </c>
      <c r="D13" t="s">
        <v>14</v>
      </c>
      <c r="E13" s="2">
        <v>14826.4964</v>
      </c>
      <c r="F13" t="s">
        <v>12</v>
      </c>
      <c r="G13" t="s">
        <v>13</v>
      </c>
      <c r="H13">
        <v>1434</v>
      </c>
    </row>
    <row r="14" spans="1:8" x14ac:dyDescent="0.3">
      <c r="A14" t="s">
        <v>8</v>
      </c>
      <c r="B14" t="s">
        <v>9</v>
      </c>
      <c r="C14" t="s">
        <v>19</v>
      </c>
      <c r="D14" t="s">
        <v>15</v>
      </c>
      <c r="E14" s="2">
        <v>16646.641100000001</v>
      </c>
      <c r="F14" t="s">
        <v>12</v>
      </c>
      <c r="G14" t="s">
        <v>13</v>
      </c>
      <c r="H14">
        <v>1434</v>
      </c>
    </row>
    <row r="15" spans="1:8" x14ac:dyDescent="0.3">
      <c r="A15" t="s">
        <v>8</v>
      </c>
      <c r="B15" t="s">
        <v>9</v>
      </c>
      <c r="C15" t="s">
        <v>19</v>
      </c>
      <c r="D15" t="s">
        <v>16</v>
      </c>
      <c r="E15" s="2">
        <v>18886.345300000001</v>
      </c>
      <c r="F15" t="s">
        <v>12</v>
      </c>
      <c r="G15" t="s">
        <v>13</v>
      </c>
      <c r="H15">
        <v>1434</v>
      </c>
    </row>
    <row r="16" spans="1:8" x14ac:dyDescent="0.3">
      <c r="A16" t="s">
        <v>8</v>
      </c>
      <c r="B16" t="s">
        <v>9</v>
      </c>
      <c r="C16" t="s">
        <v>19</v>
      </c>
      <c r="D16" t="s">
        <v>17</v>
      </c>
      <c r="E16" s="2">
        <v>20656.2183</v>
      </c>
      <c r="F16" t="s">
        <v>12</v>
      </c>
      <c r="G16" t="s">
        <v>13</v>
      </c>
      <c r="H16">
        <v>1434</v>
      </c>
    </row>
    <row r="17" spans="1:8" x14ac:dyDescent="0.3">
      <c r="A17" t="s">
        <v>8</v>
      </c>
      <c r="B17" t="s">
        <v>9</v>
      </c>
      <c r="C17" t="s">
        <v>20</v>
      </c>
      <c r="D17" t="s">
        <v>11</v>
      </c>
      <c r="E17" s="2">
        <v>-14085.001</v>
      </c>
      <c r="F17" t="s">
        <v>12</v>
      </c>
      <c r="G17" t="s">
        <v>13</v>
      </c>
      <c r="H17">
        <v>1434</v>
      </c>
    </row>
    <row r="18" spans="1:8" x14ac:dyDescent="0.3">
      <c r="A18" t="s">
        <v>8</v>
      </c>
      <c r="B18" t="s">
        <v>9</v>
      </c>
      <c r="C18" t="s">
        <v>20</v>
      </c>
      <c r="D18" t="s">
        <v>14</v>
      </c>
      <c r="E18" s="2">
        <v>-17670.962</v>
      </c>
      <c r="F18" t="s">
        <v>12</v>
      </c>
      <c r="G18" t="s">
        <v>13</v>
      </c>
      <c r="H18">
        <v>1434</v>
      </c>
    </row>
    <row r="19" spans="1:8" x14ac:dyDescent="0.3">
      <c r="A19" t="s">
        <v>8</v>
      </c>
      <c r="B19" t="s">
        <v>9</v>
      </c>
      <c r="C19" t="s">
        <v>20</v>
      </c>
      <c r="D19" t="s">
        <v>15</v>
      </c>
      <c r="E19" s="2">
        <v>-21312.9876</v>
      </c>
      <c r="F19" t="s">
        <v>12</v>
      </c>
      <c r="G19" t="s">
        <v>13</v>
      </c>
      <c r="H19">
        <v>1434</v>
      </c>
    </row>
    <row r="20" spans="1:8" x14ac:dyDescent="0.3">
      <c r="A20" t="s">
        <v>8</v>
      </c>
      <c r="B20" t="s">
        <v>9</v>
      </c>
      <c r="C20" t="s">
        <v>20</v>
      </c>
      <c r="D20" t="s">
        <v>16</v>
      </c>
      <c r="E20" s="2">
        <v>-22044.7268</v>
      </c>
      <c r="F20" t="s">
        <v>12</v>
      </c>
      <c r="G20" t="s">
        <v>13</v>
      </c>
      <c r="H20">
        <v>1434</v>
      </c>
    </row>
    <row r="21" spans="1:8" x14ac:dyDescent="0.3">
      <c r="A21" t="s">
        <v>8</v>
      </c>
      <c r="B21" t="s">
        <v>9</v>
      </c>
      <c r="C21" t="s">
        <v>20</v>
      </c>
      <c r="D21" t="s">
        <v>17</v>
      </c>
      <c r="E21" s="2">
        <v>-23165.812399999999</v>
      </c>
      <c r="F21" t="s">
        <v>12</v>
      </c>
      <c r="G21" t="s">
        <v>13</v>
      </c>
      <c r="H21">
        <v>1434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79021-9A8F-4FF3-A8E7-1AAC49F6E0C9}">
  <dimension ref="A1:U3"/>
  <sheetViews>
    <sheetView tabSelected="1" workbookViewId="0">
      <selection activeCell="F3" sqref="F3"/>
    </sheetView>
  </sheetViews>
  <sheetFormatPr defaultRowHeight="14.4" x14ac:dyDescent="0.3"/>
  <cols>
    <col min="1" max="1" width="37" customWidth="1"/>
  </cols>
  <sheetData>
    <row r="1" spans="1:21" x14ac:dyDescent="0.3">
      <c r="B1">
        <v>2020</v>
      </c>
      <c r="C1">
        <v>2021</v>
      </c>
      <c r="D1">
        <v>2022</v>
      </c>
      <c r="E1">
        <v>2023</v>
      </c>
      <c r="F1">
        <v>2024</v>
      </c>
      <c r="U1" t="s">
        <v>17</v>
      </c>
    </row>
    <row r="2" spans="1:21" x14ac:dyDescent="0.3">
      <c r="A2" t="s">
        <v>10</v>
      </c>
      <c r="B2" s="2">
        <v>19972.1453</v>
      </c>
      <c r="C2" s="2">
        <v>23608.367399999999</v>
      </c>
      <c r="D2" s="2">
        <v>29392.294600000001</v>
      </c>
      <c r="E2" s="2">
        <v>33682.965499999998</v>
      </c>
      <c r="F2" s="2">
        <v>36770.002800000002</v>
      </c>
    </row>
    <row r="3" spans="1:21" x14ac:dyDescent="0.3">
      <c r="A3" t="s">
        <v>18</v>
      </c>
      <c r="B3" s="2">
        <v>-17515.725699999999</v>
      </c>
      <c r="C3" s="2">
        <v>-21938.261399999999</v>
      </c>
      <c r="D3" s="2">
        <v>-27095.220300000001</v>
      </c>
      <c r="E3" s="2">
        <v>-28412.546900000001</v>
      </c>
      <c r="F3" s="2">
        <v>-30459.218499999999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heetViews>
  <sheetFormatPr defaultRowHeight="14.4" x14ac:dyDescent="0.3"/>
  <cols>
    <col min="1" max="1" width="30" customWidth="1"/>
    <col min="2" max="2" width="200" customWidth="1"/>
  </cols>
  <sheetData>
    <row r="1" spans="1:2" x14ac:dyDescent="0.3">
      <c r="A1" s="1" t="s">
        <v>21</v>
      </c>
      <c r="B1" s="1" t="s">
        <v>4</v>
      </c>
    </row>
    <row r="2" spans="1:2" x14ac:dyDescent="0.3">
      <c r="A2" t="s">
        <v>22</v>
      </c>
      <c r="B2" s="3">
        <v>2050</v>
      </c>
    </row>
    <row r="3" spans="1:2" x14ac:dyDescent="0.3">
      <c r="A3" t="s">
        <v>23</v>
      </c>
      <c r="B3" t="s">
        <v>8</v>
      </c>
    </row>
    <row r="4" spans="1:2" x14ac:dyDescent="0.3">
      <c r="A4" t="s">
        <v>24</v>
      </c>
      <c r="B4" t="s">
        <v>25</v>
      </c>
    </row>
    <row r="5" spans="1:2" x14ac:dyDescent="0.3">
      <c r="A5" t="s">
        <v>26</v>
      </c>
      <c r="B5" t="s">
        <v>27</v>
      </c>
    </row>
    <row r="6" spans="1:2" x14ac:dyDescent="0.3">
      <c r="A6" t="s">
        <v>28</v>
      </c>
    </row>
    <row r="7" spans="1:2" x14ac:dyDescent="0.3">
      <c r="A7" t="s">
        <v>5</v>
      </c>
      <c r="B7" t="s">
        <v>12</v>
      </c>
    </row>
    <row r="8" spans="1:2" x14ac:dyDescent="0.3">
      <c r="A8" t="s">
        <v>29</v>
      </c>
    </row>
    <row r="9" spans="1:2" x14ac:dyDescent="0.3">
      <c r="A9" t="s">
        <v>30</v>
      </c>
      <c r="B9" t="s">
        <v>31</v>
      </c>
    </row>
    <row r="10" spans="1:2" x14ac:dyDescent="0.3">
      <c r="A10" t="s">
        <v>32</v>
      </c>
      <c r="B10" t="s">
        <v>33</v>
      </c>
    </row>
    <row r="11" spans="1:2" x14ac:dyDescent="0.3">
      <c r="A11" t="s">
        <v>34</v>
      </c>
    </row>
    <row r="12" spans="1:2" x14ac:dyDescent="0.3">
      <c r="A12" t="s">
        <v>35</v>
      </c>
      <c r="B12" s="3">
        <v>0</v>
      </c>
    </row>
    <row r="13" spans="1:2" x14ac:dyDescent="0.3">
      <c r="A13" t="s">
        <v>36</v>
      </c>
      <c r="B13" t="s">
        <v>37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
  <sheetViews>
    <sheetView workbookViewId="0"/>
  </sheetViews>
  <sheetFormatPr defaultRowHeight="14.4" x14ac:dyDescent="0.3"/>
  <cols>
    <col min="1" max="1" width="6" customWidth="1"/>
    <col min="2" max="6" width="30" customWidth="1"/>
  </cols>
  <sheetData>
    <row r="1" spans="1:6" x14ac:dyDescent="0.3">
      <c r="A1" s="1" t="s">
        <v>38</v>
      </c>
      <c r="B1" s="1" t="s">
        <v>39</v>
      </c>
      <c r="C1" s="1" t="s">
        <v>40</v>
      </c>
      <c r="D1" s="1" t="s">
        <v>41</v>
      </c>
      <c r="E1" s="1" t="s">
        <v>42</v>
      </c>
      <c r="F1" s="1" t="s">
        <v>43</v>
      </c>
    </row>
    <row r="2" spans="1:6" x14ac:dyDescent="0.3">
      <c r="A2">
        <v>1434</v>
      </c>
      <c r="B2" t="s">
        <v>44</v>
      </c>
      <c r="C2" t="s">
        <v>45</v>
      </c>
      <c r="D2" t="s">
        <v>46</v>
      </c>
      <c r="E2" t="s">
        <v>47</v>
      </c>
      <c r="F2" t="s">
        <v>48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heetViews>
  <sheetFormatPr defaultRowHeight="14.4" x14ac:dyDescent="0.3"/>
  <cols>
    <col min="1" max="1" width="6" customWidth="1"/>
    <col min="2" max="2" width="200" customWidth="1"/>
  </cols>
  <sheetData>
    <row r="1" spans="1:2" x14ac:dyDescent="0.3">
      <c r="A1" s="1" t="s">
        <v>38</v>
      </c>
      <c r="B1" s="1" t="s">
        <v>40</v>
      </c>
    </row>
    <row r="2" spans="1:2" x14ac:dyDescent="0.3">
      <c r="A2">
        <v>10138</v>
      </c>
      <c r="B2" t="s">
        <v>49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5"/>
  <sheetViews>
    <sheetView workbookViewId="0"/>
  </sheetViews>
  <sheetFormatPr defaultRowHeight="14.4" x14ac:dyDescent="0.3"/>
  <cols>
    <col min="1" max="1" width="6" customWidth="1"/>
    <col min="2" max="2" width="200" customWidth="1"/>
  </cols>
  <sheetData>
    <row r="1" spans="1:2" x14ac:dyDescent="0.3">
      <c r="A1" s="1" t="s">
        <v>38</v>
      </c>
      <c r="B1" s="1" t="s">
        <v>40</v>
      </c>
    </row>
    <row r="2" spans="1:2" x14ac:dyDescent="0.3">
      <c r="A2">
        <v>0</v>
      </c>
      <c r="B2" t="s">
        <v>50</v>
      </c>
    </row>
    <row r="3" spans="1:2" x14ac:dyDescent="0.3">
      <c r="A3">
        <v>1</v>
      </c>
      <c r="B3" t="s">
        <v>51</v>
      </c>
    </row>
    <row r="4" spans="1:2" x14ac:dyDescent="0.3">
      <c r="A4">
        <v>2</v>
      </c>
      <c r="B4" t="s">
        <v>52</v>
      </c>
    </row>
    <row r="5" spans="1:2" x14ac:dyDescent="0.3">
      <c r="A5">
        <v>3</v>
      </c>
      <c r="B5" t="s">
        <v>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chart </vt:lpstr>
      <vt:lpstr>metadata</vt:lpstr>
      <vt:lpstr>sources</vt:lpstr>
      <vt:lpstr>footnotes</vt:lpstr>
      <vt:lpstr>credits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giulia moncada</cp:lastModifiedBy>
  <dcterms:created xsi:type="dcterms:W3CDTF">2025-05-13T11:32:06Z</dcterms:created>
  <dcterms:modified xsi:type="dcterms:W3CDTF">2025-09-21T23:42:21Z</dcterms:modified>
</cp:coreProperties>
</file>